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guimiento WBS" sheetId="1" state="visible" r:id="rId3"/>
    <sheet name="Registro de Riesgos" sheetId="2" state="visible" r:id="rId4"/>
    <sheet name="Registro de Camb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<sst xmlns="http://schemas.openxmlformats.org/spreadsheetml/2006/main" count="308" uniqueCount="194">
  <si>
    <t xml:space="preserve">ID</t>
  </si>
  <si>
    <t xml:space="preserve">Fase / Tarea</t>
  </si>
  <si>
    <t xml:space="preserve">Duración
(días)</t>
  </si>
  <si>
    <t xml:space="preserve">Inicio
Planificado</t>
  </si>
  <si>
    <t xml:space="preserve">Fin
Planificado</t>
  </si>
  <si>
    <t xml:space="preserve">Inicio
Real</t>
  </si>
  <si>
    <t xml:space="preserve">Fin
Real</t>
  </si>
  <si>
    <t xml:space="preserve">Presupuesto
Planificado (USD)</t>
  </si>
  <si>
    <t xml:space="preserve">Presupuesto
Ejecutado (USD)</t>
  </si>
  <si>
    <t xml:space="preserve">Variación
(USD)</t>
  </si>
  <si>
    <t xml:space="preserve">Responsable</t>
  </si>
  <si>
    <t xml:space="preserve">Estado</t>
  </si>
  <si>
    <t xml:space="preserve">% Avance</t>
  </si>
  <si>
    <t xml:space="preserve">Notas</t>
  </si>
  <si>
    <t xml:space="preserve">1</t>
  </si>
  <si>
    <t xml:space="preserve">INICIACIÓN Y DISEÑO</t>
  </si>
  <si>
    <t xml:space="preserve">05/01/26</t>
  </si>
  <si>
    <t xml:space="preserve">16/01/26</t>
  </si>
  <si>
    <t xml:space="preserve">PM</t>
  </si>
  <si>
    <t xml:space="preserve">Completado</t>
  </si>
  <si>
    <t xml:space="preserve">100%</t>
  </si>
  <si>
    <t xml:space="preserve">1.1</t>
  </si>
  <si>
    <t xml:space="preserve">Kick-off y relevamiento de stakeholders</t>
  </si>
  <si>
    <t xml:space="preserve">07/01/26</t>
  </si>
  <si>
    <t xml:space="preserve">1.2</t>
  </si>
  <si>
    <t xml:space="preserve">Diccionario de datos y mapeo de fuentes</t>
  </si>
  <si>
    <t xml:space="preserve">09/01/26</t>
  </si>
  <si>
    <t xml:space="preserve">PM + Analyst</t>
  </si>
  <si>
    <t xml:space="preserve">Entregado bajo presupuesto.</t>
  </si>
  <si>
    <t xml:space="preserve">1.3</t>
  </si>
  <si>
    <t xml:space="preserve">Diseño de arquitectura cloud (medallion)</t>
  </si>
  <si>
    <t xml:space="preserve">Data Engineer</t>
  </si>
  <si>
    <t xml:space="preserve">Revisiones adicionales de diseño por complejidad Unity Catalog. +$200 vs plan.</t>
  </si>
  <si>
    <t xml:space="preserve">1.4</t>
  </si>
  <si>
    <t xml:space="preserve">Configuración de accesos y Service Principals</t>
  </si>
  <si>
    <t xml:space="preserve">12/01/26</t>
  </si>
  <si>
    <t xml:space="preserve">DevOps</t>
  </si>
  <si>
    <t xml:space="preserve">R02 materializado: IT entregó accesos en semana 2 en lugar de semana 1. Retraso 1 semana.</t>
  </si>
  <si>
    <t xml:space="preserve">2</t>
  </si>
  <si>
    <t xml:space="preserve">DESARROLLO — INFRAESTRUCTURA Y PIPELINES</t>
  </si>
  <si>
    <t xml:space="preserve">19/01/26</t>
  </si>
  <si>
    <t xml:space="preserve">13/03/26</t>
  </si>
  <si>
    <t xml:space="preserve">26/01/26</t>
  </si>
  <si>
    <t xml:space="preserve">03/04/26</t>
  </si>
  <si>
    <t xml:space="preserve">DE + DevOps</t>
  </si>
  <si>
    <t xml:space="preserve">En curso</t>
  </si>
  <si>
    <t xml:space="preserve">60%</t>
  </si>
  <si>
    <t xml:space="preserve">Retraso acumulado de 1 semana por R02 (accesos) + 1 semana por R01 (calidad Bronze).</t>
  </si>
  <si>
    <t xml:space="preserve">2.1</t>
  </si>
  <si>
    <t xml:space="preserve">Configuración de entorno cloud (Workspace, Unity Catalog)</t>
  </si>
  <si>
    <t xml:space="preserve">30/01/26</t>
  </si>
  <si>
    <t xml:space="preserve">06/02/26</t>
  </si>
  <si>
    <t xml:space="preserve">Inicio demorado 1 semana por R02. Fin demorado 1 semana en cascada.</t>
  </si>
  <si>
    <t xml:space="preserve">2.2</t>
  </si>
  <si>
    <t xml:space="preserve">Desarrollo de pipeline Bronze (ingesta CRM/ERP/GA)</t>
  </si>
  <si>
    <t xml:space="preserve">02/02/26</t>
  </si>
  <si>
    <t xml:space="preserve">20/02/26</t>
  </si>
  <si>
    <t xml:space="preserve">09/02/26</t>
  </si>
  <si>
    <t xml:space="preserve">27/02/26</t>
  </si>
  <si>
    <t xml:space="preserve">R01 activo: datos CRM requerían limpieza adicional no prevista. +$200 vs plan. Incluye GA histórico extendido (CR01 aprobado).</t>
  </si>
  <si>
    <t xml:space="preserve">2.3</t>
  </si>
  <si>
    <t xml:space="preserve">Validación de ingesta y calidad Bronze</t>
  </si>
  <si>
    <t xml:space="preserve">06/03/26</t>
  </si>
  <si>
    <t xml:space="preserve">Analyst</t>
  </si>
  <si>
    <t xml:space="preserve">Inicio demorado 1 semana por cierre tardío de 2.2. Gate Silver habilitado el 06/03.</t>
  </si>
  <si>
    <t xml:space="preserve">2.4</t>
  </si>
  <si>
    <t xml:space="preserve">Desarrollo de pipeline Silver (limpieza y reglas de negocio)</t>
  </si>
  <si>
    <t xml:space="preserve">20/03/26</t>
  </si>
  <si>
    <t xml:space="preserve">Gate Silver habilitado con 1 semana de retraso por R01. Finalizado sin desvío de presupuesto.</t>
  </si>
  <si>
    <t xml:space="preserve">2.5</t>
  </si>
  <si>
    <t xml:space="preserve">Desarrollo de pipeline Gold (tablas de negocio)</t>
  </si>
  <si>
    <t xml:space="preserve">50%</t>
  </si>
  <si>
    <t xml:space="preserve">Inicio demorado 2 semanas (acumulado R01+R02). Se estima fin 03/04. CR03 (KPIs de marketing) en evaluación — puede impactar alcance Gold.</t>
  </si>
  <si>
    <t xml:space="preserve">2.6</t>
  </si>
  <si>
    <t xml:space="preserve">Configuración de alertas de costo y auto-escalado</t>
  </si>
  <si>
    <t xml:space="preserve">28/01/26</t>
  </si>
  <si>
    <t xml:space="preserve">R04 mitigado. Serverless SQL habilitado. Auto-terminación de clusters en 30 min.</t>
  </si>
  <si>
    <t xml:space="preserve">3</t>
  </si>
  <si>
    <t xml:space="preserve">VALIDACIÓN Y QA</t>
  </si>
  <si>
    <t xml:space="preserve">10/04/26</t>
  </si>
  <si>
    <t xml:space="preserve">25%</t>
  </si>
  <si>
    <t xml:space="preserve">Fase iniciada con 2 semanas de retraso acumulado. H4 en riesgo.</t>
  </si>
  <si>
    <t xml:space="preserve">3.1</t>
  </si>
  <si>
    <t xml:space="preserve">Pruebas de integridad (Gold vs. sistemas fuente)</t>
  </si>
  <si>
    <t xml:space="preserve">30/03/26</t>
  </si>
  <si>
    <t xml:space="preserve">Analyst + DE</t>
  </si>
  <si>
    <t xml:space="preserve">40%</t>
  </si>
  <si>
    <t xml:space="preserve">En progreso. Se detectaron 3 discrepancias en tablas Gold vs ERP. Data Engineer trabajando en corrección.</t>
  </si>
  <si>
    <t xml:space="preserve">3.2</t>
  </si>
  <si>
    <t xml:space="preserve">Pruebas de stress y performance de pipelines</t>
  </si>
  <si>
    <t xml:space="preserve">Pendiente</t>
  </si>
  <si>
    <t xml:space="preserve">0%</t>
  </si>
  <si>
    <t xml:space="preserve">No iniciado. Depende de cierre de 3.1.</t>
  </si>
  <si>
    <t xml:space="preserve">3.3</t>
  </si>
  <si>
    <t xml:space="preserve">UAT con usuarios clave (SMEs)</t>
  </si>
  <si>
    <t xml:space="preserve">Sesión 1 de 4 completada (Finanzas). Sesión 2 programada para 10/04. SMEs de Ventas aún sin confirmar disponibilidad (D03 en riesgo).</t>
  </si>
  <si>
    <t xml:space="preserve">4</t>
  </si>
  <si>
    <t xml:space="preserve">CIERRE Y ENTREGA</t>
  </si>
  <si>
    <t xml:space="preserve">24/04/26</t>
  </si>
  <si>
    <t xml:space="preserve">No iniciado. Inicio supeditado a cierre de Fase 3. H4 estimado con 2 semanas de retraso.</t>
  </si>
  <si>
    <t xml:space="preserve">4.1</t>
  </si>
  <si>
    <t xml:space="preserve">Documentación técnica final y runbook</t>
  </si>
  <si>
    <t xml:space="preserve">17/04/26</t>
  </si>
  <si>
    <t xml:space="preserve">4.2</t>
  </si>
  <si>
    <t xml:space="preserve">Capacitación a usuarios clave</t>
  </si>
  <si>
    <t xml:space="preserve">14/04/26</t>
  </si>
  <si>
    <t xml:space="preserve">4.3</t>
  </si>
  <si>
    <t xml:space="preserve">Paso a producción y handover formal</t>
  </si>
  <si>
    <t xml:space="preserve">DevOps + PM</t>
  </si>
  <si>
    <t xml:space="preserve">TOTAL</t>
  </si>
  <si>
    <t xml:space="preserve">Descripción del Riesgo</t>
  </si>
  <si>
    <t xml:space="preserve">Categoría</t>
  </si>
  <si>
    <t xml:space="preserve">Probabilidad
(1=Baja / 3=Alta)</t>
  </si>
  <si>
    <t xml:space="preserve">Impacto
(1=Bajo / 3=Alto)</t>
  </si>
  <si>
    <t xml:space="preserve">Exposición
(P×I)</t>
  </si>
  <si>
    <t xml:space="preserve">Fase asociada</t>
  </si>
  <si>
    <t xml:space="preserve">Plan de mitigación</t>
  </si>
  <si>
    <t xml:space="preserve">Plan de contingencia</t>
  </si>
  <si>
    <t xml:space="preserve">Notas / Actualizaciones</t>
  </si>
  <si>
    <t xml:space="preserve">R01</t>
  </si>
  <si>
    <t xml:space="preserve">Baja calidad de datos en origen (CRM/ERP): datos sucios o incompletos en fuentes</t>
  </si>
  <si>
    <t xml:space="preserve">Técnico</t>
  </si>
  <si>
    <t xml:space="preserve">🔴 Alta</t>
  </si>
  <si>
    <t xml:space="preserve">Activo — materializado</t>
  </si>
  <si>
    <t xml:space="preserve">2 · Desarrollo</t>
  </si>
  <si>
    <t xml:space="preserve">Reglas de validación definidas con dueños de datos. Schema Enforcement en Silver.</t>
  </si>
  <si>
    <t xml:space="preserve">Capa de Staging para aislar registros erróneos. Reporte semanal de rechazos al Sponsor.</t>
  </si>
  <si>
    <t xml:space="preserve">Bronze requirió lógica de limpieza adicional → +$200 en tarea 2.2. Gate Silver demorado 1 semana.</t>
  </si>
  <si>
    <t xml:space="preserve">R02</t>
  </si>
  <si>
    <t xml:space="preserve">Demoras en accesos y credenciales (IT/Seguridad)</t>
  </si>
  <si>
    <t xml:space="preserve">Externo</t>
  </si>
  <si>
    <t xml:space="preserve">🟡 Media</t>
  </si>
  <si>
    <t xml:space="preserve">Cerrado — materializado</t>
  </si>
  <si>
    <t xml:space="preserve">1 · Iniciación</t>
  </si>
  <si>
    <t xml:space="preserve">Trámite iniciado en semana 1. Incluido como dependencia crítica en kick-off.</t>
  </si>
  <si>
    <t xml:space="preserve">Desarrollo con datasets sintéticos (mocks) mientras se resuelven accesos.</t>
  </si>
  <si>
    <t xml:space="preserve">IT entregó accesos en semana 2. Tareas 1.4 y 2.1 retrasadas 1 semana cada una. Riesgo cerrado.</t>
  </si>
  <si>
    <t xml:space="preserve">R03</t>
  </si>
  <si>
    <t xml:space="preserve">Scope creep: stakeholders solicitan métricas o fuentes no contempladas</t>
  </si>
  <si>
    <t xml:space="preserve">Negocio</t>
  </si>
  <si>
    <t xml:space="preserve">Activo — monitoreado</t>
  </si>
  <si>
    <t xml:space="preserve">3 · QA</t>
  </si>
  <si>
    <t xml:space="preserve">Charter firmado con alcance bloqueado. Demos semanales con SMEs para canalizar feedback.</t>
  </si>
  <si>
    <t xml:space="preserve">Evaluación de impacto en cronograma/presupuesto. Todo requerimiento nuevo propuesto para Fase 2.</t>
  </si>
  <si>
    <t xml:space="preserve">CR03 pendiente: KPIs CAC/LTV solicitados por Marketing. Decisión en semana 11. Podría impactar Gold y H4.</t>
  </si>
  <si>
    <t xml:space="preserve">R04</t>
  </si>
  <si>
    <t xml:space="preserve">Costos de cómputo (DBUs) por encima del presupuesto</t>
  </si>
  <si>
    <t xml:space="preserve">🟢 Baja</t>
  </si>
  <si>
    <t xml:space="preserve">Mitigado</t>
  </si>
  <si>
    <t xml:space="preserve">Alertas de presupuesto configuradas. Serverless SQL habilitado. Auto-terminación de clusters.</t>
  </si>
  <si>
    <t xml:space="preserve">Reducir frecuencia de pipelines de near-real-time a cada 4 horas. Revisar queries ineficientes.</t>
  </si>
  <si>
    <t xml:space="preserve">Monitoreo activo. Sin desvío de costos de cómputo a la fecha.</t>
  </si>
  <si>
    <t xml:space="preserve">R05</t>
  </si>
  <si>
    <t xml:space="preserve">Dependencia crítica del Data Engineer único: baja o salida del recurso</t>
  </si>
  <si>
    <t xml:space="preserve">Todas las fases</t>
  </si>
  <si>
    <t xml:space="preserve">Documentación técnica continua desde semana 1. Knowledge sharing activo con el Analyst.</t>
  </si>
  <si>
    <t xml:space="preserve">Incorporación de recurso de reemplazo. Activar cláusula de continuidad con proveedor.</t>
  </si>
  <si>
    <t xml:space="preserve">Notebooks documentados al día. Analyst completó shadowing de lógica Bronze y Silver.</t>
  </si>
  <si>
    <t xml:space="preserve">R06</t>
  </si>
  <si>
    <t xml:space="preserve">Datos históricos incompletos: los 24 meses requeridos no están disponibles</t>
  </si>
  <si>
    <t xml:space="preserve">Data Engineer + PM</t>
  </si>
  <si>
    <t xml:space="preserve">Auditoría de disponibilidad de datos históricos en semana 1.</t>
  </si>
  <si>
    <t xml:space="preserve">Renegociar alcance histórico con Sponsor. Documentar desvío en charter.</t>
  </si>
  <si>
    <t xml:space="preserve">Auditoría confirmó 22 meses disponibles en ERP. Sponsor aprobó reducción de alcance (CR02).</t>
  </si>
  <si>
    <t xml:space="preserve">R07</t>
  </si>
  <si>
    <t xml:space="preserve">Disponibilidad de SMEs para UAT: usuarios clave sin confirmar sesiones</t>
  </si>
  <si>
    <t xml:space="preserve">Activo — en seguimiento</t>
  </si>
  <si>
    <t xml:space="preserve">3 · QA / 4 · Cierre</t>
  </si>
  <si>
    <t xml:space="preserve">Confirmación de disponibilidad solicitada en semana 8 según plan de comunicación.</t>
  </si>
  <si>
    <t xml:space="preserve">Reprogramar sesiones UAT. Extender fase 3 si es necesario. Escalar al Sponsor.</t>
  </si>
  <si>
    <t xml:space="preserve">SMEs de Finanzas confirmados. SMEs de Ventas y Marketing aún sin confirmar. D03 en riesgo activo.</t>
  </si>
  <si>
    <t xml:space="preserve">Descripción del Cambio</t>
  </si>
  <si>
    <t xml:space="preserve">Solicitado por</t>
  </si>
  <si>
    <t xml:space="preserve">Fecha</t>
  </si>
  <si>
    <t xml:space="preserve">Impacto en Presupuesto (USD)</t>
  </si>
  <si>
    <t xml:space="preserve">Impacto en Cronograma (días)</t>
  </si>
  <si>
    <t xml:space="preserve">Decisión</t>
  </si>
  <si>
    <t xml:space="preserve">CR01</t>
  </si>
  <si>
    <t xml:space="preserve">Incorporar fuente adicional: Google Analytics histórico extendido (36 meses en lugar de 24)</t>
  </si>
  <si>
    <t xml:space="preserve">Gerencia de Marketing</t>
  </si>
  <si>
    <t xml:space="preserve">20/01/26</t>
  </si>
  <si>
    <t xml:space="preserve">Aprobado</t>
  </si>
  <si>
    <t xml:space="preserve">En alcance — incorporado en tarea 2.2</t>
  </si>
  <si>
    <t xml:space="preserve">Financiado con contingencia. Sin impacto en ruta crítica. Datos de GA extendido incluidos en Bronze.</t>
  </si>
  <si>
    <t xml:space="preserve">CR02</t>
  </si>
  <si>
    <t xml:space="preserve">Ajuste de alcance histórico ERP: reducir de 24 a 22 meses disponibles</t>
  </si>
  <si>
    <t xml:space="preserve">Alcance ajustado — charter actualizado</t>
  </si>
  <si>
    <t xml:space="preserve">R06 materializado. Auditoría confirmó disponibilidad real de 22 meses en ERP. Sponsor aprobó reducción formal. Sin impacto en presupuesto ni cronograma.</t>
  </si>
  <si>
    <t xml:space="preserve">CR03</t>
  </si>
  <si>
    <t xml:space="preserve">Nuevo KPI de marketing: CAC (Costo de Adquisición de Cliente) y LTV (Lifetime Value) por canal</t>
  </si>
  <si>
    <t xml:space="preserve">15/03/26</t>
  </si>
  <si>
    <t xml:space="preserve">Pendiente — en evaluación</t>
  </si>
  <si>
    <t xml:space="preserve">Bajo análisis — decisión en semana 11</t>
  </si>
  <si>
    <t xml:space="preserve">Requiere 2 tablas Gold adicionales y lógica de segmentación por canal. PM evaluando incorporación en Fase 2 vs. en alcance actual. Si se aprueba, impacta fin de 2.5, inicio de 3.x y fecha de H4. Riesgo R03 activo.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</si>
</sst>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7" min="4" style="0" width="14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4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36" hidden="false" customHeight="true" outlineLevel="0" collapsed="false">
      <c r="A2" s="2" t="s">
        <v>14</v>
      </c>
      <c r="B2" s="2" t="s">
        <v>15</v>
      </c>
      <c r="C2" s="2" t="n">
        <v>15</v>
      </c>
      <c r="D2" s="2" t="s">
        <v>16</v>
      </c>
      <c r="E2" s="2" t="s">
        <v>17</v>
      </c>
      <c r="F2" s="2" t="s">
        <v>16</v>
      </c>
      <c r="G2" s="2" t="s">
        <v>17</v>
      </c>
      <c r="H2" s="2"/>
      <c r="I2" s="2"/>
      <c r="J2" s="2"/>
      <c r="K2" s="2" t="s">
        <v>18</v>
      </c>
      <c r="L2" s="2" t="s">
        <v>19</v>
      </c>
      <c r="M2" s="2" t="s">
        <v>20</v>
      </c>
      <c r="N2" s="2"/>
    </row>
    <row r="3" customFormat="false" ht="36" hidden="false" customHeight="true" outlineLevel="0" collapsed="false">
      <c r="A3" s="3" t="s">
        <v>21</v>
      </c>
      <c r="B3" s="3" t="s">
        <v>22</v>
      </c>
      <c r="C3" s="3" t="n">
        <v>3</v>
      </c>
      <c r="D3" s="3" t="s">
        <v>16</v>
      </c>
      <c r="E3" s="3" t="s">
        <v>23</v>
      </c>
      <c r="F3" s="3" t="s">
        <v>16</v>
      </c>
      <c r="G3" s="3" t="s">
        <v>23</v>
      </c>
      <c r="H3" s="3" t="n">
        <v>400</v>
      </c>
      <c r="I3" s="3" t="n">
        <v>400</v>
      </c>
      <c r="J3" s="3" t="n">
        <f aca="false">I3-H3</f>
        <v>0</v>
      </c>
      <c r="K3" s="3" t="s">
        <v>18</v>
      </c>
      <c r="L3" s="3" t="s">
        <v>19</v>
      </c>
      <c r="M3" s="3" t="s">
        <v>20</v>
      </c>
      <c r="N3" s="3"/>
    </row>
    <row r="4" customFormat="false" ht="36" hidden="false" customHeight="true" outlineLevel="0" collapsed="false">
      <c r="A4" s="3" t="s">
        <v>24</v>
      </c>
      <c r="B4" s="3" t="s">
        <v>25</v>
      </c>
      <c r="C4" s="3" t="n">
        <v>7</v>
      </c>
      <c r="D4" s="3" t="s">
        <v>16</v>
      </c>
      <c r="E4" s="3" t="s">
        <v>26</v>
      </c>
      <c r="F4" s="3" t="s">
        <v>16</v>
      </c>
      <c r="G4" s="3" t="s">
        <v>26</v>
      </c>
      <c r="H4" s="3" t="n">
        <v>800</v>
      </c>
      <c r="I4" s="3" t="n">
        <v>700</v>
      </c>
      <c r="J4" s="3" t="n">
        <f aca="false">I4-H4</f>
        <v>-100</v>
      </c>
      <c r="K4" s="3" t="s">
        <v>27</v>
      </c>
      <c r="L4" s="3" t="s">
        <v>19</v>
      </c>
      <c r="M4" s="3" t="s">
        <v>20</v>
      </c>
      <c r="N4" s="3" t="s">
        <v>28</v>
      </c>
    </row>
    <row r="5" customFormat="false" ht="36" hidden="false" customHeight="true" outlineLevel="0" collapsed="false">
      <c r="A5" s="3" t="s">
        <v>29</v>
      </c>
      <c r="B5" s="3" t="s">
        <v>30</v>
      </c>
      <c r="C5" s="3" t="n">
        <v>8</v>
      </c>
      <c r="D5" s="3" t="s">
        <v>26</v>
      </c>
      <c r="E5" s="3" t="s">
        <v>17</v>
      </c>
      <c r="F5" s="3" t="s">
        <v>26</v>
      </c>
      <c r="G5" s="3" t="s">
        <v>17</v>
      </c>
      <c r="H5" s="3" t="n">
        <v>800</v>
      </c>
      <c r="I5" s="3" t="n">
        <v>1000</v>
      </c>
      <c r="J5" s="3" t="n">
        <f aca="false">I5-H5</f>
        <v>200</v>
      </c>
      <c r="K5" s="3" t="s">
        <v>31</v>
      </c>
      <c r="L5" s="3" t="s">
        <v>19</v>
      </c>
      <c r="M5" s="3" t="s">
        <v>20</v>
      </c>
      <c r="N5" s="3" t="s">
        <v>32</v>
      </c>
    </row>
    <row r="6" customFormat="false" ht="36" hidden="false" customHeight="true" outlineLevel="0" collapsed="false">
      <c r="A6" s="3" t="s">
        <v>33</v>
      </c>
      <c r="B6" s="3" t="s">
        <v>34</v>
      </c>
      <c r="C6" s="3" t="n">
        <v>5</v>
      </c>
      <c r="D6" s="3" t="s">
        <v>16</v>
      </c>
      <c r="E6" s="3" t="s">
        <v>26</v>
      </c>
      <c r="F6" s="3" t="s">
        <v>35</v>
      </c>
      <c r="G6" s="3" t="s">
        <v>17</v>
      </c>
      <c r="H6" s="3"/>
      <c r="I6" s="3"/>
      <c r="J6" s="3"/>
      <c r="K6" s="3" t="s">
        <v>36</v>
      </c>
      <c r="L6" s="3" t="s">
        <v>19</v>
      </c>
      <c r="M6" s="3" t="s">
        <v>20</v>
      </c>
      <c r="N6" s="3" t="s">
        <v>37</v>
      </c>
    </row>
    <row r="7" customFormat="false" ht="36" hidden="false" customHeight="true" outlineLevel="0" collapsed="false">
      <c r="A7" s="2" t="s">
        <v>38</v>
      </c>
      <c r="B7" s="2" t="s">
        <v>39</v>
      </c>
      <c r="C7" s="2" t="n">
        <v>45</v>
      </c>
      <c r="D7" s="2" t="s">
        <v>40</v>
      </c>
      <c r="E7" s="2" t="s">
        <v>41</v>
      </c>
      <c r="F7" s="2" t="s">
        <v>42</v>
      </c>
      <c r="G7" s="2" t="s">
        <v>43</v>
      </c>
      <c r="H7" s="2"/>
      <c r="I7" s="2"/>
      <c r="J7" s="2"/>
      <c r="K7" s="2" t="s">
        <v>44</v>
      </c>
      <c r="L7" s="2" t="s">
        <v>45</v>
      </c>
      <c r="M7" s="2" t="s">
        <v>46</v>
      </c>
      <c r="N7" s="2" t="s">
        <v>47</v>
      </c>
    </row>
    <row r="8" customFormat="false" ht="36" hidden="false" customHeight="true" outlineLevel="0" collapsed="false">
      <c r="A8" s="3" t="s">
        <v>48</v>
      </c>
      <c r="B8" s="3" t="s">
        <v>49</v>
      </c>
      <c r="C8" s="3" t="n">
        <v>10</v>
      </c>
      <c r="D8" s="3" t="s">
        <v>40</v>
      </c>
      <c r="E8" s="3" t="s">
        <v>50</v>
      </c>
      <c r="F8" s="3" t="s">
        <v>42</v>
      </c>
      <c r="G8" s="3" t="s">
        <v>51</v>
      </c>
      <c r="H8" s="3" t="n">
        <v>1500</v>
      </c>
      <c r="I8" s="3" t="n">
        <v>1500</v>
      </c>
      <c r="J8" s="3" t="n">
        <f aca="false">I8-H8</f>
        <v>0</v>
      </c>
      <c r="K8" s="3" t="s">
        <v>36</v>
      </c>
      <c r="L8" s="3" t="s">
        <v>19</v>
      </c>
      <c r="M8" s="3" t="s">
        <v>20</v>
      </c>
      <c r="N8" s="3" t="s">
        <v>52</v>
      </c>
    </row>
    <row r="9" customFormat="false" ht="36" hidden="false" customHeight="true" outlineLevel="0" collapsed="false">
      <c r="A9" s="3" t="s">
        <v>53</v>
      </c>
      <c r="B9" s="3" t="s">
        <v>54</v>
      </c>
      <c r="C9" s="3" t="n">
        <v>15</v>
      </c>
      <c r="D9" s="3" t="s">
        <v>55</v>
      </c>
      <c r="E9" s="3" t="s">
        <v>56</v>
      </c>
      <c r="F9" s="3" t="s">
        <v>57</v>
      </c>
      <c r="G9" s="3" t="s">
        <v>58</v>
      </c>
      <c r="H9" s="3" t="n">
        <v>2500</v>
      </c>
      <c r="I9" s="3" t="n">
        <v>2700</v>
      </c>
      <c r="J9" s="3" t="n">
        <f aca="false">I9-H9</f>
        <v>200</v>
      </c>
      <c r="K9" s="3" t="s">
        <v>31</v>
      </c>
      <c r="L9" s="3" t="s">
        <v>19</v>
      </c>
      <c r="M9" s="3" t="s">
        <v>20</v>
      </c>
      <c r="N9" s="3" t="s">
        <v>59</v>
      </c>
    </row>
    <row r="10" customFormat="false" ht="36" hidden="false" customHeight="true" outlineLevel="0" collapsed="false">
      <c r="A10" s="3" t="s">
        <v>60</v>
      </c>
      <c r="B10" s="3" t="s">
        <v>61</v>
      </c>
      <c r="C10" s="3" t="n">
        <v>5</v>
      </c>
      <c r="D10" s="3" t="s">
        <v>56</v>
      </c>
      <c r="E10" s="3" t="s">
        <v>58</v>
      </c>
      <c r="F10" s="3" t="s">
        <v>58</v>
      </c>
      <c r="G10" s="3" t="s">
        <v>62</v>
      </c>
      <c r="H10" s="3" t="n">
        <v>500</v>
      </c>
      <c r="I10" s="3" t="n">
        <v>450</v>
      </c>
      <c r="J10" s="3" t="n">
        <f aca="false">I10-H10</f>
        <v>-50</v>
      </c>
      <c r="K10" s="3" t="s">
        <v>63</v>
      </c>
      <c r="L10" s="3" t="s">
        <v>19</v>
      </c>
      <c r="M10" s="3" t="s">
        <v>20</v>
      </c>
      <c r="N10" s="3" t="s">
        <v>64</v>
      </c>
    </row>
    <row r="11" customFormat="false" ht="36" hidden="false" customHeight="true" outlineLevel="0" collapsed="false">
      <c r="A11" s="3" t="s">
        <v>65</v>
      </c>
      <c r="B11" s="3" t="s">
        <v>66</v>
      </c>
      <c r="C11" s="3" t="n">
        <v>15</v>
      </c>
      <c r="D11" s="3" t="s">
        <v>56</v>
      </c>
      <c r="E11" s="3" t="s">
        <v>41</v>
      </c>
      <c r="F11" s="3" t="s">
        <v>62</v>
      </c>
      <c r="G11" s="3" t="s">
        <v>67</v>
      </c>
      <c r="H11" s="3" t="n">
        <v>2500</v>
      </c>
      <c r="I11" s="3" t="n">
        <v>2500</v>
      </c>
      <c r="J11" s="3" t="n">
        <f aca="false">I11-H11</f>
        <v>0</v>
      </c>
      <c r="K11" s="3" t="s">
        <v>31</v>
      </c>
      <c r="L11" s="3" t="s">
        <v>19</v>
      </c>
      <c r="M11" s="3" t="s">
        <v>20</v>
      </c>
      <c r="N11" s="3" t="s">
        <v>68</v>
      </c>
    </row>
    <row r="12" customFormat="false" ht="36" hidden="false" customHeight="true" outlineLevel="0" collapsed="false">
      <c r="A12" s="4" t="s">
        <v>69</v>
      </c>
      <c r="B12" s="4" t="s">
        <v>70</v>
      </c>
      <c r="C12" s="4" t="n">
        <v>10</v>
      </c>
      <c r="D12" s="4" t="s">
        <v>62</v>
      </c>
      <c r="E12" s="4" t="s">
        <v>67</v>
      </c>
      <c r="F12" s="4" t="s">
        <v>67</v>
      </c>
      <c r="G12" s="4"/>
      <c r="H12" s="4" t="n">
        <v>1000</v>
      </c>
      <c r="I12" s="4" t="n">
        <v>500</v>
      </c>
      <c r="J12" s="4" t="n">
        <f aca="false">I12-H12</f>
        <v>-500</v>
      </c>
      <c r="K12" s="4" t="s">
        <v>31</v>
      </c>
      <c r="L12" s="4" t="s">
        <v>45</v>
      </c>
      <c r="M12" s="4" t="s">
        <v>71</v>
      </c>
      <c r="N12" s="4" t="s">
        <v>72</v>
      </c>
    </row>
    <row r="13" customFormat="false" ht="36" hidden="false" customHeight="true" outlineLevel="0" collapsed="false">
      <c r="A13" s="3" t="s">
        <v>73</v>
      </c>
      <c r="B13" s="3" t="s">
        <v>74</v>
      </c>
      <c r="C13" s="3" t="n">
        <v>3</v>
      </c>
      <c r="D13" s="3" t="s">
        <v>42</v>
      </c>
      <c r="E13" s="3" t="s">
        <v>75</v>
      </c>
      <c r="F13" s="3" t="s">
        <v>42</v>
      </c>
      <c r="G13" s="3" t="s">
        <v>75</v>
      </c>
      <c r="H13" s="3"/>
      <c r="I13" s="3"/>
      <c r="J13" s="3"/>
      <c r="K13" s="3" t="s">
        <v>36</v>
      </c>
      <c r="L13" s="3" t="s">
        <v>19</v>
      </c>
      <c r="M13" s="3" t="s">
        <v>20</v>
      </c>
      <c r="N13" s="3" t="s">
        <v>76</v>
      </c>
    </row>
    <row r="14" customFormat="false" ht="36" hidden="false" customHeight="true" outlineLevel="0" collapsed="false">
      <c r="A14" s="2" t="s">
        <v>77</v>
      </c>
      <c r="B14" s="2" t="s">
        <v>78</v>
      </c>
      <c r="C14" s="2" t="n">
        <v>20</v>
      </c>
      <c r="D14" s="2" t="s">
        <v>67</v>
      </c>
      <c r="E14" s="2" t="s">
        <v>79</v>
      </c>
      <c r="F14" s="2" t="s">
        <v>43</v>
      </c>
      <c r="G14" s="2"/>
      <c r="H14" s="2"/>
      <c r="I14" s="2"/>
      <c r="J14" s="2"/>
      <c r="K14" s="2" t="s">
        <v>63</v>
      </c>
      <c r="L14" s="2" t="s">
        <v>45</v>
      </c>
      <c r="M14" s="2" t="s">
        <v>80</v>
      </c>
      <c r="N14" s="2" t="s">
        <v>81</v>
      </c>
    </row>
    <row r="15" customFormat="false" ht="36" hidden="false" customHeight="true" outlineLevel="0" collapsed="false">
      <c r="A15" s="4" t="s">
        <v>82</v>
      </c>
      <c r="B15" s="4" t="s">
        <v>83</v>
      </c>
      <c r="C15" s="4" t="n">
        <v>7</v>
      </c>
      <c r="D15" s="4" t="s">
        <v>67</v>
      </c>
      <c r="E15" s="4" t="s">
        <v>84</v>
      </c>
      <c r="F15" s="4" t="s">
        <v>43</v>
      </c>
      <c r="G15" s="4"/>
      <c r="H15" s="4" t="n">
        <v>800</v>
      </c>
      <c r="I15" s="4" t="n">
        <v>320</v>
      </c>
      <c r="J15" s="4" t="n">
        <f aca="false">I15-H15</f>
        <v>-480</v>
      </c>
      <c r="K15" s="4" t="s">
        <v>85</v>
      </c>
      <c r="L15" s="4" t="s">
        <v>45</v>
      </c>
      <c r="M15" s="4" t="s">
        <v>86</v>
      </c>
      <c r="N15" s="4" t="s">
        <v>87</v>
      </c>
    </row>
    <row r="16" customFormat="false" ht="36" hidden="false" customHeight="true" outlineLevel="0" collapsed="false">
      <c r="A16" s="5" t="s">
        <v>88</v>
      </c>
      <c r="B16" s="5" t="s">
        <v>89</v>
      </c>
      <c r="C16" s="5" t="n">
        <v>5</v>
      </c>
      <c r="D16" s="5" t="s">
        <v>84</v>
      </c>
      <c r="E16" s="5" t="s">
        <v>43</v>
      </c>
      <c r="F16" s="5"/>
      <c r="G16" s="5"/>
      <c r="H16" s="5" t="n">
        <v>700</v>
      </c>
      <c r="I16" s="5" t="n">
        <v>0</v>
      </c>
      <c r="J16" s="5" t="n">
        <f aca="false">I16-H16</f>
        <v>-700</v>
      </c>
      <c r="K16" s="5" t="s">
        <v>31</v>
      </c>
      <c r="L16" s="5" t="s">
        <v>90</v>
      </c>
      <c r="M16" s="5" t="s">
        <v>91</v>
      </c>
      <c r="N16" s="5" t="s">
        <v>92</v>
      </c>
    </row>
    <row r="17" customFormat="false" ht="36" hidden="false" customHeight="true" outlineLevel="0" collapsed="false">
      <c r="A17" s="4" t="s">
        <v>93</v>
      </c>
      <c r="B17" s="4" t="s">
        <v>94</v>
      </c>
      <c r="C17" s="4" t="n">
        <v>8</v>
      </c>
      <c r="D17" s="4" t="s">
        <v>84</v>
      </c>
      <c r="E17" s="4" t="s">
        <v>79</v>
      </c>
      <c r="F17" s="4" t="s">
        <v>43</v>
      </c>
      <c r="G17" s="4"/>
      <c r="H17" s="4" t="n">
        <v>1500</v>
      </c>
      <c r="I17" s="4" t="n">
        <v>375</v>
      </c>
      <c r="J17" s="4" t="n">
        <f aca="false">I17-H17</f>
        <v>-1125</v>
      </c>
      <c r="K17" s="4" t="s">
        <v>27</v>
      </c>
      <c r="L17" s="4" t="s">
        <v>45</v>
      </c>
      <c r="M17" s="4" t="s">
        <v>80</v>
      </c>
      <c r="N17" s="4" t="s">
        <v>95</v>
      </c>
    </row>
    <row r="18" customFormat="false" ht="36" hidden="false" customHeight="true" outlineLevel="0" collapsed="false">
      <c r="A18" s="2" t="s">
        <v>96</v>
      </c>
      <c r="B18" s="2" t="s">
        <v>97</v>
      </c>
      <c r="C18" s="2" t="n">
        <v>10</v>
      </c>
      <c r="D18" s="2" t="s">
        <v>79</v>
      </c>
      <c r="E18" s="2" t="s">
        <v>98</v>
      </c>
      <c r="F18" s="2"/>
      <c r="G18" s="2"/>
      <c r="H18" s="2"/>
      <c r="I18" s="2"/>
      <c r="J18" s="2"/>
      <c r="K18" s="2" t="s">
        <v>18</v>
      </c>
      <c r="L18" s="2" t="s">
        <v>90</v>
      </c>
      <c r="M18" s="2" t="s">
        <v>91</v>
      </c>
      <c r="N18" s="2" t="s">
        <v>99</v>
      </c>
    </row>
    <row r="19" customFormat="false" ht="36" hidden="false" customHeight="true" outlineLevel="0" collapsed="false">
      <c r="A19" s="5" t="s">
        <v>100</v>
      </c>
      <c r="B19" s="5" t="s">
        <v>101</v>
      </c>
      <c r="C19" s="5" t="n">
        <v>5</v>
      </c>
      <c r="D19" s="5" t="s">
        <v>79</v>
      </c>
      <c r="E19" s="5" t="s">
        <v>102</v>
      </c>
      <c r="F19" s="5"/>
      <c r="G19" s="5"/>
      <c r="H19" s="5" t="n">
        <v>1000</v>
      </c>
      <c r="I19" s="5" t="n">
        <v>0</v>
      </c>
      <c r="J19" s="5" t="n">
        <f aca="false">I19-H19</f>
        <v>-1000</v>
      </c>
      <c r="K19" s="5" t="s">
        <v>27</v>
      </c>
      <c r="L19" s="5" t="s">
        <v>90</v>
      </c>
      <c r="M19" s="5" t="s">
        <v>91</v>
      </c>
      <c r="N19" s="5"/>
    </row>
    <row r="20" customFormat="false" ht="36" hidden="false" customHeight="true" outlineLevel="0" collapsed="false">
      <c r="A20" s="5" t="s">
        <v>103</v>
      </c>
      <c r="B20" s="5" t="s">
        <v>104</v>
      </c>
      <c r="C20" s="5" t="n">
        <v>3</v>
      </c>
      <c r="D20" s="5" t="s">
        <v>79</v>
      </c>
      <c r="E20" s="5" t="s">
        <v>105</v>
      </c>
      <c r="F20" s="5"/>
      <c r="G20" s="5"/>
      <c r="H20" s="5" t="n">
        <v>500</v>
      </c>
      <c r="I20" s="5" t="n">
        <v>0</v>
      </c>
      <c r="J20" s="5" t="n">
        <f aca="false">I20-H20</f>
        <v>-500</v>
      </c>
      <c r="K20" s="5" t="s">
        <v>27</v>
      </c>
      <c r="L20" s="5" t="s">
        <v>90</v>
      </c>
      <c r="M20" s="5" t="s">
        <v>91</v>
      </c>
      <c r="N20" s="5"/>
    </row>
    <row r="21" customFormat="false" ht="36" hidden="false" customHeight="true" outlineLevel="0" collapsed="false">
      <c r="A21" s="5" t="s">
        <v>106</v>
      </c>
      <c r="B21" s="5" t="s">
        <v>107</v>
      </c>
      <c r="C21" s="5" t="n">
        <v>5</v>
      </c>
      <c r="D21" s="5" t="s">
        <v>102</v>
      </c>
      <c r="E21" s="5" t="s">
        <v>98</v>
      </c>
      <c r="F21" s="5"/>
      <c r="G21" s="5"/>
      <c r="H21" s="5" t="n">
        <v>500</v>
      </c>
      <c r="I21" s="5" t="n">
        <v>0</v>
      </c>
      <c r="J21" s="5" t="n">
        <f aca="false">I21-H21</f>
        <v>-500</v>
      </c>
      <c r="K21" s="5" t="s">
        <v>108</v>
      </c>
      <c r="L21" s="5" t="s">
        <v>90</v>
      </c>
      <c r="M21" s="5" t="s">
        <v>91</v>
      </c>
      <c r="N21" s="5"/>
    </row>
    <row r="22" customFormat="false" ht="15" hidden="false" customHeight="false" outlineLevel="0" collapsed="false">
      <c r="A22" s="6" t="s">
        <v>109</v>
      </c>
      <c r="B22" s="6"/>
      <c r="C22" s="6"/>
      <c r="D22" s="6"/>
      <c r="E22" s="6"/>
      <c r="F22" s="6"/>
      <c r="G22" s="6"/>
      <c r="H22" s="6" t="n">
        <f aca="false">SUM(H3:H21)</f>
        <v>15000</v>
      </c>
      <c r="I22" s="6" t="n">
        <f aca="false">SUM(I3:I21)</f>
        <v>10445</v>
      </c>
      <c r="J22" s="6" t="n">
        <f aca="false">J21-H21</f>
        <v>-1000</v>
      </c>
      <c r="K22" s="6"/>
      <c r="L22" s="6"/>
      <c r="M22" s="6"/>
      <c r="N2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1" min="10" style="0" width="38"/>
    <col collapsed="false" customWidth="true" hidden="false" outlineLevel="0" max="12" min="12" style="0" width="40"/>
  </cols>
  <sheetData>
    <row r="1" customFormat="false" ht="36" hidden="false" customHeight="true" outlineLevel="0" collapsed="false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</v>
      </c>
      <c r="H1" s="1" t="s">
        <v>115</v>
      </c>
      <c r="I1" s="1" t="s">
        <v>10</v>
      </c>
      <c r="J1" s="1" t="s">
        <v>116</v>
      </c>
      <c r="K1" s="1" t="s">
        <v>117</v>
      </c>
      <c r="L1" s="1" t="s">
        <v>118</v>
      </c>
    </row>
    <row r="2" customFormat="false" ht="72" hidden="false" customHeight="true" outlineLevel="0" collapsed="false">
      <c r="A2" s="7" t="s">
        <v>119</v>
      </c>
      <c r="B2" s="7" t="s">
        <v>120</v>
      </c>
      <c r="C2" s="7" t="s">
        <v>121</v>
      </c>
      <c r="D2" s="7" t="n">
        <v>3</v>
      </c>
      <c r="E2" s="7" t="n">
        <v>3</v>
      </c>
      <c r="F2" s="7" t="s">
        <v>122</v>
      </c>
      <c r="G2" s="7" t="s">
        <v>123</v>
      </c>
      <c r="H2" s="7" t="s">
        <v>124</v>
      </c>
      <c r="I2" s="7" t="s">
        <v>18</v>
      </c>
      <c r="J2" s="7" t="s">
        <v>125</v>
      </c>
      <c r="K2" s="7" t="s">
        <v>126</v>
      </c>
      <c r="L2" s="7" t="s">
        <v>127</v>
      </c>
    </row>
    <row r="3" customFormat="false" ht="72" hidden="false" customHeight="true" outlineLevel="0" collapsed="false">
      <c r="A3" s="8" t="s">
        <v>128</v>
      </c>
      <c r="B3" s="8" t="s">
        <v>129</v>
      </c>
      <c r="C3" s="8" t="s">
        <v>130</v>
      </c>
      <c r="D3" s="8" t="n">
        <v>2</v>
      </c>
      <c r="E3" s="8" t="n">
        <v>2</v>
      </c>
      <c r="F3" s="8" t="s">
        <v>131</v>
      </c>
      <c r="G3" s="8" t="s">
        <v>132</v>
      </c>
      <c r="H3" s="8" t="s">
        <v>133</v>
      </c>
      <c r="I3" s="8" t="s">
        <v>18</v>
      </c>
      <c r="J3" s="8" t="s">
        <v>134</v>
      </c>
      <c r="K3" s="8" t="s">
        <v>135</v>
      </c>
      <c r="L3" s="8" t="s">
        <v>136</v>
      </c>
    </row>
    <row r="4" customFormat="false" ht="72" hidden="false" customHeight="true" outlineLevel="0" collapsed="false">
      <c r="A4" s="8" t="s">
        <v>137</v>
      </c>
      <c r="B4" s="8" t="s">
        <v>138</v>
      </c>
      <c r="C4" s="8" t="s">
        <v>139</v>
      </c>
      <c r="D4" s="8" t="n">
        <v>2</v>
      </c>
      <c r="E4" s="8" t="n">
        <v>3</v>
      </c>
      <c r="F4" s="8" t="s">
        <v>131</v>
      </c>
      <c r="G4" s="8" t="s">
        <v>140</v>
      </c>
      <c r="H4" s="8" t="s">
        <v>141</v>
      </c>
      <c r="I4" s="8" t="s">
        <v>18</v>
      </c>
      <c r="J4" s="8" t="s">
        <v>142</v>
      </c>
      <c r="K4" s="8" t="s">
        <v>143</v>
      </c>
      <c r="L4" s="8" t="s">
        <v>144</v>
      </c>
    </row>
    <row r="5" customFormat="false" ht="72" hidden="false" customHeight="true" outlineLevel="0" collapsed="false">
      <c r="A5" s="9" t="s">
        <v>145</v>
      </c>
      <c r="B5" s="9" t="s">
        <v>146</v>
      </c>
      <c r="C5" s="9" t="s">
        <v>121</v>
      </c>
      <c r="D5" s="9" t="n">
        <v>1</v>
      </c>
      <c r="E5" s="9" t="n">
        <v>1</v>
      </c>
      <c r="F5" s="9" t="s">
        <v>147</v>
      </c>
      <c r="G5" s="9" t="s">
        <v>148</v>
      </c>
      <c r="H5" s="9" t="s">
        <v>124</v>
      </c>
      <c r="I5" s="9" t="s">
        <v>31</v>
      </c>
      <c r="J5" s="9" t="s">
        <v>149</v>
      </c>
      <c r="K5" s="9" t="s">
        <v>150</v>
      </c>
      <c r="L5" s="9" t="s">
        <v>151</v>
      </c>
    </row>
    <row r="6" customFormat="false" ht="72" hidden="false" customHeight="true" outlineLevel="0" collapsed="false">
      <c r="A6" s="8" t="s">
        <v>152</v>
      </c>
      <c r="B6" s="8" t="s">
        <v>153</v>
      </c>
      <c r="C6" s="8" t="s">
        <v>121</v>
      </c>
      <c r="D6" s="8" t="n">
        <v>1</v>
      </c>
      <c r="E6" s="8" t="n">
        <v>3</v>
      </c>
      <c r="F6" s="8" t="s">
        <v>131</v>
      </c>
      <c r="G6" s="8" t="s">
        <v>140</v>
      </c>
      <c r="H6" s="8" t="s">
        <v>154</v>
      </c>
      <c r="I6" s="8" t="s">
        <v>18</v>
      </c>
      <c r="J6" s="8" t="s">
        <v>155</v>
      </c>
      <c r="K6" s="8" t="s">
        <v>156</v>
      </c>
      <c r="L6" s="8" t="s">
        <v>157</v>
      </c>
    </row>
    <row r="7" customFormat="false" ht="72" hidden="false" customHeight="true" outlineLevel="0" collapsed="false">
      <c r="A7" s="8" t="s">
        <v>158</v>
      </c>
      <c r="B7" s="8" t="s">
        <v>159</v>
      </c>
      <c r="C7" s="8" t="s">
        <v>121</v>
      </c>
      <c r="D7" s="8" t="n">
        <v>2</v>
      </c>
      <c r="E7" s="8" t="n">
        <v>2</v>
      </c>
      <c r="F7" s="8" t="s">
        <v>131</v>
      </c>
      <c r="G7" s="8" t="s">
        <v>148</v>
      </c>
      <c r="H7" s="8" t="s">
        <v>133</v>
      </c>
      <c r="I7" s="8" t="s">
        <v>160</v>
      </c>
      <c r="J7" s="8" t="s">
        <v>161</v>
      </c>
      <c r="K7" s="8" t="s">
        <v>162</v>
      </c>
      <c r="L7" s="8" t="s">
        <v>163</v>
      </c>
    </row>
    <row r="8" customFormat="false" ht="72" hidden="false" customHeight="true" outlineLevel="0" collapsed="false">
      <c r="A8" s="8" t="s">
        <v>164</v>
      </c>
      <c r="B8" s="8" t="s">
        <v>165</v>
      </c>
      <c r="C8" s="8" t="s">
        <v>130</v>
      </c>
      <c r="D8" s="8" t="n">
        <v>2</v>
      </c>
      <c r="E8" s="8" t="n">
        <v>2</v>
      </c>
      <c r="F8" s="8" t="s">
        <v>131</v>
      </c>
      <c r="G8" s="8" t="s">
        <v>166</v>
      </c>
      <c r="H8" s="8" t="s">
        <v>167</v>
      </c>
      <c r="I8" s="8" t="s">
        <v>18</v>
      </c>
      <c r="J8" s="8" t="s">
        <v>168</v>
      </c>
      <c r="K8" s="8" t="s">
        <v>169</v>
      </c>
      <c r="L8" s="8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22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40"/>
  </cols>
  <sheetData>
    <row r="1" customFormat="false" ht="36" hidden="false" customHeight="true" outlineLevel="0" collapsed="false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11</v>
      </c>
      <c r="H1" s="1" t="s">
        <v>176</v>
      </c>
      <c r="I1" s="1" t="s">
        <v>13</v>
      </c>
    </row>
    <row r="2" customFormat="false" ht="60" hidden="false" customHeight="true" outlineLevel="0" collapsed="false">
      <c r="A2" s="9" t="s">
        <v>177</v>
      </c>
      <c r="B2" s="9" t="s">
        <v>178</v>
      </c>
      <c r="C2" s="9" t="s">
        <v>179</v>
      </c>
      <c r="D2" s="9" t="s">
        <v>180</v>
      </c>
      <c r="E2" s="9" t="n">
        <v>300</v>
      </c>
      <c r="F2" s="9" t="n">
        <v>3</v>
      </c>
      <c r="G2" s="9" t="s">
        <v>181</v>
      </c>
      <c r="H2" s="9" t="s">
        <v>182</v>
      </c>
      <c r="I2" s="9" t="s">
        <v>183</v>
      </c>
    </row>
    <row r="3" customFormat="false" ht="60" hidden="false" customHeight="true" outlineLevel="0" collapsed="false">
      <c r="A3" s="9" t="s">
        <v>184</v>
      </c>
      <c r="B3" s="9" t="s">
        <v>185</v>
      </c>
      <c r="C3" s="9" t="s">
        <v>31</v>
      </c>
      <c r="D3" s="9" t="s">
        <v>75</v>
      </c>
      <c r="E3" s="9" t="n">
        <v>0</v>
      </c>
      <c r="F3" s="9" t="n">
        <v>0</v>
      </c>
      <c r="G3" s="9" t="s">
        <v>181</v>
      </c>
      <c r="H3" s="9" t="s">
        <v>186</v>
      </c>
      <c r="I3" s="9" t="s">
        <v>187</v>
      </c>
    </row>
    <row r="4" customFormat="false" ht="60" hidden="false" customHeight="true" outlineLevel="0" collapsed="false">
      <c r="A4" s="8" t="s">
        <v>188</v>
      </c>
      <c r="B4" s="8" t="s">
        <v>189</v>
      </c>
      <c r="C4" s="8" t="s">
        <v>179</v>
      </c>
      <c r="D4" s="8" t="s">
        <v>190</v>
      </c>
      <c r="E4" s="8" t="n">
        <v>800</v>
      </c>
      <c r="F4" s="8" t="n">
        <v>10</v>
      </c>
      <c r="G4" s="8" t="s">
        <v>191</v>
      </c>
      <c r="H4" s="8" t="s">
        <v>192</v>
      </c>
      <c r="I4" s="8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2026-07-10T23:06:08Z</dcterms:created>
  <dc:creator>openpyxl</dc:creator>
  <dc:description/>
  <dc:language>en-US</dc:language>
  <cp:lastModifiedBy/>
  <dcterms:modified xsi:type="dcterms:W3CDTF">2026-07-10T23:06:08Z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